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  <sheet state="visible" name="Blad2" sheetId="2" r:id="rId5"/>
  </sheets>
  <definedNames>
    <definedName hidden="1" localSheetId="0" name="_xlnm._FilterDatabase">Blad1!$B$7:$G$77</definedName>
  </definedNames>
  <calcPr/>
</workbook>
</file>

<file path=xl/sharedStrings.xml><?xml version="1.0" encoding="utf-8"?>
<sst xmlns="http://schemas.openxmlformats.org/spreadsheetml/2006/main" count="257" uniqueCount="91">
  <si>
    <t>Pin</t>
  </si>
  <si>
    <t>Tag</t>
  </si>
  <si>
    <t>Signal Type</t>
  </si>
  <si>
    <t>Signal Type Description</t>
  </si>
  <si>
    <t>Application Name 1</t>
  </si>
  <si>
    <t>Application Name 2</t>
  </si>
  <si>
    <t>~ 0/RX0</t>
  </si>
  <si>
    <t>~ 1/TX0</t>
  </si>
  <si>
    <t>~ 2</t>
  </si>
  <si>
    <t>stpTurn</t>
  </si>
  <si>
    <t>DO</t>
  </si>
  <si>
    <t>Turn Coordinator</t>
  </si>
  <si>
    <t>Stepper Turn Indicator</t>
  </si>
  <si>
    <t>~ 3</t>
  </si>
  <si>
    <t>~ 4</t>
  </si>
  <si>
    <t>~ 5</t>
  </si>
  <si>
    <t>~ 6</t>
  </si>
  <si>
    <t>~ 7</t>
  </si>
  <si>
    <t>~ 8</t>
  </si>
  <si>
    <t>panel_LT</t>
  </si>
  <si>
    <t>PWM</t>
  </si>
  <si>
    <t>Panel Lighting</t>
  </si>
  <si>
    <t>Panel lighting strenght</t>
  </si>
  <si>
    <t>~ 9</t>
  </si>
  <si>
    <t>~ 10</t>
  </si>
  <si>
    <t>~ 11</t>
  </si>
  <si>
    <t>~ 12</t>
  </si>
  <si>
    <t>~ 13</t>
  </si>
  <si>
    <t>14/TX3</t>
  </si>
  <si>
    <t>15/RX3</t>
  </si>
  <si>
    <t>16/TX2</t>
  </si>
  <si>
    <t>17/RX2</t>
  </si>
  <si>
    <t>18/TX1</t>
  </si>
  <si>
    <t>stpBall</t>
  </si>
  <si>
    <t>Stepper Ball Indicator</t>
  </si>
  <si>
    <t>19/RX1</t>
  </si>
  <si>
    <t>20/SDA</t>
  </si>
  <si>
    <t>21/SCL</t>
  </si>
  <si>
    <t>stpSpeed</t>
  </si>
  <si>
    <t>Airspeed Indicator</t>
  </si>
  <si>
    <t>Stepper Speed Indicator</t>
  </si>
  <si>
    <t>stpRoll</t>
  </si>
  <si>
    <t>Attitude Indicator</t>
  </si>
  <si>
    <t>Stepper Roll Angle</t>
  </si>
  <si>
    <t>stpPitch</t>
  </si>
  <si>
    <t>Stepper Pitch Angle</t>
  </si>
  <si>
    <t>stpAltitude</t>
  </si>
  <si>
    <t>Altimeter</t>
  </si>
  <si>
    <t>Stepper Altitude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</si>
  <si>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+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</si>
  <si>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stpVario</t>
  </si>
  <si>
    <t>Variometer</t>
  </si>
  <si>
    <t>Stepper Variometer</t>
  </si>
  <si>
    <t>stpGyro</t>
  </si>
  <si>
    <t>Gyro Compass (Heading Indicator)</t>
  </si>
  <si>
    <t>Stepper Compass Rose</t>
  </si>
  <si>
    <t>stpHeading</t>
  </si>
  <si>
    <t>Stepper Heading Bug</t>
  </si>
  <si>
    <t>encHeading</t>
  </si>
  <si>
    <t>DI</t>
  </si>
  <si>
    <t>Encoder Heading bug</t>
  </si>
  <si>
    <t>A0</t>
  </si>
  <si>
    <t>encGyro</t>
  </si>
  <si>
    <t>Encoder Gyro Calibration</t>
  </si>
  <si>
    <t>A1</t>
  </si>
  <si>
    <t>A2</t>
  </si>
  <si>
    <t>A3</t>
  </si>
  <si>
    <t>A4</t>
  </si>
  <si>
    <t>A5</t>
  </si>
  <si>
    <t>A6</t>
  </si>
  <si>
    <t>A7</t>
  </si>
  <si>
    <t>A8</t>
  </si>
  <si>
    <t>stpBaro</t>
  </si>
  <si>
    <t>Stepper Baro Disc</t>
  </si>
  <si>
    <t>A9</t>
  </si>
  <si>
    <t>A10</t>
  </si>
  <si>
    <t>A11</t>
  </si>
  <si>
    <t>A12</t>
  </si>
  <si>
    <t>swEnable</t>
  </si>
  <si>
    <t>Enable Switch</t>
  </si>
  <si>
    <t>-</t>
  </si>
  <si>
    <t>A13</t>
  </si>
  <si>
    <t>encBaro</t>
  </si>
  <si>
    <t>Encoder Baro</t>
  </si>
  <si>
    <t>A14</t>
  </si>
  <si>
    <t>A15</t>
  </si>
  <si>
    <t>AI</t>
  </si>
  <si>
    <t>Analog In</t>
  </si>
  <si>
    <t>Digital In</t>
  </si>
  <si>
    <t>Digital Out</t>
  </si>
  <si>
    <t>PWM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</si>
</sst>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right" readingOrder="0"/>
    </xf>
    <xf borderId="5" fillId="0" fontId="1" numFmtId="0" xfId="0" applyBorder="1" applyFont="1"/>
    <xf borderId="6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horizontal="right" readingOrder="0"/>
    </xf>
    <xf borderId="8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9.88"/>
    <col customWidth="1" min="4" max="4" width="12.75"/>
    <col customWidth="1" min="5" max="5" width="22.38"/>
    <col customWidth="1" min="6" max="6" width="26.75"/>
    <col customWidth="1" min="7" max="7" width="20.25"/>
  </cols>
  <sheetData>
    <row r="7">
      <c r="B7" s="1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3" t="s">
        <v>5</v>
      </c>
    </row>
    <row r="8">
      <c r="B8" s="4" t="s">
        <v>6</v>
      </c>
      <c r="C8" s="5"/>
      <c r="D8" s="5"/>
      <c r="E8" s="5" t="str">
        <f>IF($D8="","",VLOOKUP(D8,Blad2!$A$4:$B$7,2))</f>
        <v/>
      </c>
      <c r="F8" s="5"/>
      <c r="G8" s="6"/>
    </row>
    <row r="9">
      <c r="B9" s="4" t="s">
        <v>7</v>
      </c>
      <c r="C9" s="5"/>
      <c r="D9" s="5"/>
      <c r="E9" s="5" t="str">
        <f>IF($D9="","",VLOOKUP(D9,Blad2!$A$4:$B$7,2))</f>
        <v/>
      </c>
      <c r="F9" s="5"/>
      <c r="G9" s="6"/>
    </row>
    <row r="10">
      <c r="B10" s="4" t="s">
        <v>8</v>
      </c>
      <c r="C10" s="7" t="s">
        <v>9</v>
      </c>
      <c r="D10" s="7" t="s">
        <v>10</v>
      </c>
      <c r="E10" s="5" t="str">
        <f>IF($D10="","",VLOOKUP(D10,Blad2!$A$4:$B$7,2))</f>
        <v>Digital Out</v>
      </c>
      <c r="F10" s="7" t="s">
        <v>11</v>
      </c>
      <c r="G10" s="8" t="s">
        <v>12</v>
      </c>
    </row>
    <row r="11">
      <c r="B11" s="4" t="s">
        <v>13</v>
      </c>
      <c r="C11" s="7" t="s">
        <v>9</v>
      </c>
      <c r="D11" s="7" t="s">
        <v>10</v>
      </c>
      <c r="E11" s="5" t="str">
        <f>IF($D11="","",VLOOKUP(D11,Blad2!$A$4:$B$7,2))</f>
        <v>Digital Out</v>
      </c>
      <c r="F11" s="7" t="s">
        <v>11</v>
      </c>
      <c r="G11" s="8" t="s">
        <v>12</v>
      </c>
    </row>
    <row r="12">
      <c r="B12" s="4" t="s">
        <v>14</v>
      </c>
      <c r="C12" s="7" t="s">
        <v>9</v>
      </c>
      <c r="D12" s="7" t="s">
        <v>10</v>
      </c>
      <c r="E12" s="5" t="str">
        <f>IF($D12="","",VLOOKUP(D12,Blad2!$A$4:$B$7,2))</f>
        <v>Digital Out</v>
      </c>
      <c r="F12" s="7" t="s">
        <v>11</v>
      </c>
      <c r="G12" s="8" t="s">
        <v>12</v>
      </c>
    </row>
    <row r="13">
      <c r="B13" s="4" t="s">
        <v>15</v>
      </c>
      <c r="C13" s="7" t="s">
        <v>9</v>
      </c>
      <c r="D13" s="7" t="s">
        <v>10</v>
      </c>
      <c r="E13" s="5" t="str">
        <f>IF($D13="","",VLOOKUP(D13,Blad2!$A$4:$B$7,2))</f>
        <v>Digital Out</v>
      </c>
      <c r="F13" s="7" t="s">
        <v>11</v>
      </c>
      <c r="G13" s="8" t="s">
        <v>12</v>
      </c>
    </row>
    <row r="14">
      <c r="B14" s="4" t="s">
        <v>16</v>
      </c>
      <c r="C14" s="5"/>
      <c r="D14" s="5"/>
      <c r="E14" s="5" t="str">
        <f>IF($D14="","",VLOOKUP(D14,Blad2!$A$4:$B$7,2))</f>
        <v/>
      </c>
      <c r="F14" s="5"/>
      <c r="G14" s="6"/>
    </row>
    <row r="15">
      <c r="B15" s="4" t="s">
        <v>17</v>
      </c>
      <c r="C15" s="5"/>
      <c r="D15" s="5"/>
      <c r="E15" s="5" t="str">
        <f>IF($D15="","",VLOOKUP(D15,Blad2!$A$4:$B$7,2))</f>
        <v/>
      </c>
      <c r="F15" s="5"/>
      <c r="G15" s="6"/>
    </row>
    <row r="16">
      <c r="B16" s="4" t="s">
        <v>18</v>
      </c>
      <c r="C16" s="7" t="s">
        <v>19</v>
      </c>
      <c r="D16" s="7" t="s">
        <v>20</v>
      </c>
      <c r="E16" s="5" t="str">
        <f>IF($D16="","",VLOOKUP(D16,Blad2!$A$4:$B$7,2))</f>
        <v>PWM Out</v>
      </c>
      <c r="F16" s="7" t="s">
        <v>21</v>
      </c>
      <c r="G16" s="8" t="s">
        <v>22</v>
      </c>
    </row>
    <row r="17">
      <c r="B17" s="4" t="s">
        <v>23</v>
      </c>
      <c r="C17" s="5"/>
      <c r="D17" s="5"/>
      <c r="E17" s="5" t="str">
        <f>IF($D17="","",VLOOKUP(D17,Blad2!$A$4:$B$7,2))</f>
        <v/>
      </c>
      <c r="F17" s="5"/>
      <c r="G17" s="6"/>
    </row>
    <row r="18">
      <c r="B18" s="4" t="s">
        <v>24</v>
      </c>
      <c r="C18" s="5"/>
      <c r="D18" s="5"/>
      <c r="E18" s="5" t="str">
        <f>IF($D18="","",VLOOKUP(D18,Blad2!$A$4:$B$7,2))</f>
        <v/>
      </c>
      <c r="F18" s="5"/>
      <c r="G18" s="6"/>
    </row>
    <row r="19">
      <c r="B19" s="4" t="s">
        <v>25</v>
      </c>
      <c r="C19" s="5"/>
      <c r="D19" s="5"/>
      <c r="E19" s="5" t="str">
        <f>IF($D19="","",VLOOKUP(D19,Blad2!$A$4:$B$7,2))</f>
        <v/>
      </c>
      <c r="F19" s="5"/>
      <c r="G19" s="6"/>
    </row>
    <row r="20">
      <c r="B20" s="4" t="s">
        <v>26</v>
      </c>
      <c r="C20" s="5"/>
      <c r="D20" s="5"/>
      <c r="E20" s="5" t="str">
        <f>IF($D20="","",VLOOKUP(D20,Blad2!$A$4:$B$7,2))</f>
        <v/>
      </c>
      <c r="F20" s="5"/>
      <c r="G20" s="6"/>
    </row>
    <row r="21">
      <c r="B21" s="4" t="s">
        <v>27</v>
      </c>
      <c r="C21" s="5"/>
      <c r="D21" s="5"/>
      <c r="E21" s="5" t="str">
        <f>IF($D21="","",VLOOKUP(D21,Blad2!$A$4:$B$7,2))</f>
        <v/>
      </c>
      <c r="F21" s="5"/>
      <c r="G21" s="6"/>
    </row>
    <row r="22">
      <c r="B22" s="4" t="s">
        <v>28</v>
      </c>
      <c r="C22" s="5"/>
      <c r="D22" s="5"/>
      <c r="E22" s="5" t="str">
        <f>IF($D22="","",VLOOKUP(D22,Blad2!$A$4:$B$7,2))</f>
        <v/>
      </c>
      <c r="F22" s="5"/>
      <c r="G22" s="6"/>
    </row>
    <row r="23">
      <c r="B23" s="4" t="s">
        <v>29</v>
      </c>
      <c r="C23" s="5"/>
      <c r="D23" s="5"/>
      <c r="E23" s="5" t="str">
        <f>IF($D23="","",VLOOKUP(D23,Blad2!$A$4:$B$7,2))</f>
        <v/>
      </c>
      <c r="F23" s="5"/>
      <c r="G23" s="6"/>
    </row>
    <row r="24">
      <c r="B24" s="4" t="s">
        <v>30</v>
      </c>
      <c r="C24" s="5"/>
      <c r="D24" s="5"/>
      <c r="E24" s="5" t="str">
        <f>IF($D24="","",VLOOKUP(D24,Blad2!$A$4:$B$7,2))</f>
        <v/>
      </c>
      <c r="F24" s="5"/>
      <c r="G24" s="6"/>
    </row>
    <row r="25">
      <c r="B25" s="4" t="s">
        <v>31</v>
      </c>
      <c r="C25" s="5"/>
      <c r="D25" s="5"/>
      <c r="E25" s="5" t="str">
        <f>IF($D25="","",VLOOKUP(D25,Blad2!$A$4:$B$7,2))</f>
        <v/>
      </c>
      <c r="F25" s="5"/>
      <c r="G25" s="6"/>
    </row>
    <row r="26">
      <c r="B26" s="4" t="s">
        <v>32</v>
      </c>
      <c r="C26" s="7" t="s">
        <v>33</v>
      </c>
      <c r="D26" s="7" t="s">
        <v>10</v>
      </c>
      <c r="E26" s="5" t="str">
        <f>IF($D26="","",VLOOKUP(D26,Blad2!$A$4:$B$7,2))</f>
        <v>Digital Out</v>
      </c>
      <c r="F26" s="7" t="s">
        <v>11</v>
      </c>
      <c r="G26" s="8" t="s">
        <v>34</v>
      </c>
    </row>
    <row r="27">
      <c r="B27" s="4" t="s">
        <v>35</v>
      </c>
      <c r="C27" s="7" t="s">
        <v>33</v>
      </c>
      <c r="D27" s="7" t="s">
        <v>10</v>
      </c>
      <c r="E27" s="5" t="str">
        <f>IF($D27="","",VLOOKUP(D27,Blad2!$A$4:$B$7,2))</f>
        <v>Digital Out</v>
      </c>
      <c r="F27" s="7" t="s">
        <v>11</v>
      </c>
      <c r="G27" s="8" t="s">
        <v>34</v>
      </c>
    </row>
    <row r="28">
      <c r="B28" s="4" t="s">
        <v>36</v>
      </c>
      <c r="C28" s="7" t="s">
        <v>33</v>
      </c>
      <c r="D28" s="7" t="s">
        <v>10</v>
      </c>
      <c r="E28" s="5" t="str">
        <f>IF($D28="","",VLOOKUP(D28,Blad2!$A$4:$B$7,2))</f>
        <v>Digital Out</v>
      </c>
      <c r="F28" s="7" t="s">
        <v>11</v>
      </c>
      <c r="G28" s="8" t="s">
        <v>34</v>
      </c>
    </row>
    <row r="29">
      <c r="B29" s="4" t="s">
        <v>37</v>
      </c>
      <c r="C29" s="7" t="s">
        <v>33</v>
      </c>
      <c r="D29" s="7" t="s">
        <v>10</v>
      </c>
      <c r="E29" s="5" t="str">
        <f>IF($D29="","",VLOOKUP(D29,Blad2!$A$4:$B$7,2))</f>
        <v>Digital Out</v>
      </c>
      <c r="F29" s="7" t="s">
        <v>11</v>
      </c>
      <c r="G29" s="8" t="s">
        <v>34</v>
      </c>
    </row>
    <row r="30">
      <c r="B30" s="4">
        <v>22.0</v>
      </c>
      <c r="C30" s="7" t="s">
        <v>38</v>
      </c>
      <c r="D30" s="7" t="s">
        <v>10</v>
      </c>
      <c r="E30" s="5" t="str">
        <f>IF($D30="","",VLOOKUP(D30,Blad2!$A$4:$B$7,2))</f>
        <v>Digital Out</v>
      </c>
      <c r="F30" s="7" t="s">
        <v>39</v>
      </c>
      <c r="G30" s="8" t="s">
        <v>40</v>
      </c>
    </row>
    <row r="31">
      <c r="B31" s="4">
        <v>23.0</v>
      </c>
      <c r="C31" s="7" t="s">
        <v>38</v>
      </c>
      <c r="D31" s="7" t="s">
        <v>10</v>
      </c>
      <c r="E31" s="5" t="str">
        <f>IF($D31="","",VLOOKUP(D31,Blad2!$A$4:$B$7,2))</f>
        <v>Digital Out</v>
      </c>
      <c r="F31" s="7" t="s">
        <v>39</v>
      </c>
      <c r="G31" s="8" t="s">
        <v>40</v>
      </c>
    </row>
    <row r="32">
      <c r="B32" s="4">
        <v>24.0</v>
      </c>
      <c r="C32" s="7" t="s">
        <v>38</v>
      </c>
      <c r="D32" s="7" t="s">
        <v>10</v>
      </c>
      <c r="E32" s="5" t="str">
        <f>IF($D32="","",VLOOKUP(D32,Blad2!$A$4:$B$7,2))</f>
        <v>Digital Out</v>
      </c>
      <c r="F32" s="7" t="s">
        <v>39</v>
      </c>
      <c r="G32" s="8" t="s">
        <v>40</v>
      </c>
    </row>
    <row r="33">
      <c r="B33" s="4">
        <v>25.0</v>
      </c>
      <c r="C33" s="7" t="s">
        <v>38</v>
      </c>
      <c r="D33" s="7" t="s">
        <v>10</v>
      </c>
      <c r="E33" s="5" t="str">
        <f>IF($D33="","",VLOOKUP(D33,Blad2!$A$4:$B$7,2))</f>
        <v>Digital Out</v>
      </c>
      <c r="F33" s="7" t="s">
        <v>39</v>
      </c>
      <c r="G33" s="8" t="s">
        <v>40</v>
      </c>
    </row>
    <row r="34">
      <c r="B34" s="4">
        <v>26.0</v>
      </c>
      <c r="C34" s="7" t="s">
        <v>41</v>
      </c>
      <c r="D34" s="7" t="s">
        <v>10</v>
      </c>
      <c r="E34" s="5" t="str">
        <f>IF($D34="","",VLOOKUP(D34,Blad2!$A$4:$B$7,2))</f>
        <v>Digital Out</v>
      </c>
      <c r="F34" s="7" t="s">
        <v>42</v>
      </c>
      <c r="G34" s="8" t="s">
        <v>43</v>
      </c>
    </row>
    <row r="35">
      <c r="B35" s="4">
        <v>27.0</v>
      </c>
      <c r="C35" s="7" t="s">
        <v>41</v>
      </c>
      <c r="D35" s="7" t="s">
        <v>10</v>
      </c>
      <c r="E35" s="5" t="str">
        <f>IF($D35="","",VLOOKUP(D35,Blad2!$A$4:$B$7,2))</f>
        <v>Digital Out</v>
      </c>
      <c r="F35" s="7" t="s">
        <v>42</v>
      </c>
      <c r="G35" s="8" t="s">
        <v>43</v>
      </c>
    </row>
    <row r="36">
      <c r="B36" s="4">
        <v>28.0</v>
      </c>
      <c r="C36" s="7" t="s">
        <v>41</v>
      </c>
      <c r="D36" s="7" t="s">
        <v>10</v>
      </c>
      <c r="E36" s="5" t="str">
        <f>IF($D36="","",VLOOKUP(D36,Blad2!$A$4:$B$7,2))</f>
        <v>Digital Out</v>
      </c>
      <c r="F36" s="7" t="s">
        <v>42</v>
      </c>
      <c r="G36" s="8" t="s">
        <v>43</v>
      </c>
    </row>
    <row r="37">
      <c r="B37" s="4">
        <v>29.0</v>
      </c>
      <c r="C37" s="7" t="s">
        <v>41</v>
      </c>
      <c r="D37" s="7" t="s">
        <v>10</v>
      </c>
      <c r="E37" s="5" t="str">
        <f>IF($D37="","",VLOOKUP(D37,Blad2!$A$4:$B$7,2))</f>
        <v>Digital Out</v>
      </c>
      <c r="F37" s="7" t="s">
        <v>42</v>
      </c>
      <c r="G37" s="8" t="s">
        <v>43</v>
      </c>
    </row>
    <row r="38">
      <c r="B38" s="4">
        <v>30.0</v>
      </c>
      <c r="C38" s="7" t="s">
        <v>44</v>
      </c>
      <c r="D38" s="7" t="s">
        <v>10</v>
      </c>
      <c r="E38" s="5" t="str">
        <f>IF($D38="","",VLOOKUP(D38,Blad2!$A$4:$B$7,2))</f>
        <v>Digital Out</v>
      </c>
      <c r="F38" s="7" t="s">
        <v>42</v>
      </c>
      <c r="G38" s="8" t="s">
        <v>45</v>
      </c>
    </row>
    <row r="39">
      <c r="B39" s="4">
        <v>31.0</v>
      </c>
      <c r="C39" s="7" t="s">
        <v>44</v>
      </c>
      <c r="D39" s="7" t="s">
        <v>10</v>
      </c>
      <c r="E39" s="5" t="str">
        <f>IF($D39="","",VLOOKUP(D39,Blad2!$A$4:$B$7,2))</f>
        <v>Digital Out</v>
      </c>
      <c r="F39" s="7" t="s">
        <v>42</v>
      </c>
      <c r="G39" s="8" t="s">
        <v>45</v>
      </c>
    </row>
    <row r="40">
      <c r="B40" s="4">
        <v>32.0</v>
      </c>
      <c r="C40" s="7" t="s">
        <v>44</v>
      </c>
      <c r="D40" s="7" t="s">
        <v>10</v>
      </c>
      <c r="E40" s="5" t="str">
        <f>IF($D40="","",VLOOKUP(D40,Blad2!$A$4:$B$7,2))</f>
        <v>Digital Out</v>
      </c>
      <c r="F40" s="7" t="s">
        <v>42</v>
      </c>
      <c r="G40" s="8" t="s">
        <v>45</v>
      </c>
    </row>
    <row r="41">
      <c r="B41" s="4">
        <v>33.0</v>
      </c>
      <c r="C41" s="7" t="s">
        <v>44</v>
      </c>
      <c r="D41" s="7" t="s">
        <v>10</v>
      </c>
      <c r="E41" s="5" t="str">
        <f>IF($D41="","",VLOOKUP(D41,Blad2!$A$4:$B$7,2))</f>
        <v>Digital Out</v>
      </c>
      <c r="F41" s="7" t="s">
        <v>42</v>
      </c>
      <c r="G41" s="8" t="s">
        <v>45</v>
      </c>
    </row>
    <row r="42">
      <c r="B42" s="4">
        <v>34.0</v>
      </c>
      <c r="C42" s="7" t="s">
        <v>46</v>
      </c>
      <c r="D42" s="7" t="s">
        <v>10</v>
      </c>
      <c r="E42" s="5" t="str">
        <f>IF($D42="","",VLOOKUP(D42,Blad2!$A$4:$B$7,2))</f>
        <v>Digital Out</v>
      </c>
      <c r="F42" s="7" t="s">
        <v>47</v>
      </c>
      <c r="G42" s="8" t="s">
        <v>48</v>
      </c>
    </row>
    <row r="43">
      <c r="B43" s="4">
        <v>35.0</v>
      </c>
      <c r="C43" s="7" t="s">
        <v>46</v>
      </c>
      <c r="D43" s="7" t="s">
        <v>10</v>
      </c>
      <c r="E43" s="5" t="str">
        <f>IF($D43="","",VLOOKUP(D43,Blad2!$A$4:$B$7,2))</f>
        <v>Digital Out</v>
      </c>
      <c r="F43" s="7" t="s">
        <v>47</v>
      </c>
      <c r="G43" s="8" t="s">
        <v>48</v>
      </c>
    </row>
    <row r="44">
      <c r="B44" s="4">
        <v>36.0</v>
      </c>
      <c r="C44" s="7" t="s">
        <v>46</v>
      </c>
      <c r="D44" s="7" t="s">
        <v>10</v>
      </c>
      <c r="E44" s="5" t="str">
        <f>IF($D44="","",VLOOKUP(D44,Blad2!$A$4:$B$7,2))</f>
        <v>Digital Out</v>
      </c>
      <c r="F44" s="7" t="s">
        <v>47</v>
      </c>
      <c r="G44" s="8" t="s">
        <v>48</v>
      </c>
      <c r="P44" s="9" t="s">
        <v>49</v>
      </c>
    </row>
    <row r="45">
      <c r="B45" s="4">
        <v>37.0</v>
      </c>
      <c r="C45" s="7" t="s">
        <v>46</v>
      </c>
      <c r="D45" s="7" t="s">
        <v>10</v>
      </c>
      <c r="E45" s="5" t="str">
        <f>IF($D45="","",VLOOKUP(D45,Blad2!$A$4:$B$7,2))</f>
        <v>Digital Out</v>
      </c>
      <c r="F45" s="7" t="s">
        <v>47</v>
      </c>
      <c r="G45" s="8" t="s">
        <v>48</v>
      </c>
    </row>
    <row r="46">
      <c r="B46" s="4">
        <v>38.0</v>
      </c>
      <c r="C46" s="7" t="s">
        <v>50</v>
      </c>
      <c r="D46" s="7" t="s">
        <v>10</v>
      </c>
      <c r="E46" s="5" t="str">
        <f>IF($D46="","",VLOOKUP(D46,Blad2!$A$4:$B$7,2))</f>
        <v>Digital Out</v>
      </c>
      <c r="F46" s="7" t="s">
        <v>51</v>
      </c>
      <c r="G46" s="8" t="s">
        <v>52</v>
      </c>
    </row>
    <row r="47">
      <c r="B47" s="4">
        <v>39.0</v>
      </c>
      <c r="C47" s="7" t="s">
        <v>50</v>
      </c>
      <c r="D47" s="7" t="s">
        <v>10</v>
      </c>
      <c r="E47" s="5" t="str">
        <f>IF($D47="","",VLOOKUP(D47,Blad2!$A$4:$B$7,2))</f>
        <v>Digital Out</v>
      </c>
      <c r="F47" s="7" t="s">
        <v>51</v>
      </c>
      <c r="G47" s="8" t="s">
        <v>52</v>
      </c>
    </row>
    <row r="48">
      <c r="B48" s="4">
        <v>40.0</v>
      </c>
      <c r="C48" s="7" t="s">
        <v>50</v>
      </c>
      <c r="D48" s="7" t="s">
        <v>10</v>
      </c>
      <c r="E48" s="5" t="str">
        <f>IF($D48="","",VLOOKUP(D48,Blad2!$A$4:$B$7,2))</f>
        <v>Digital Out</v>
      </c>
      <c r="F48" s="7" t="s">
        <v>51</v>
      </c>
      <c r="G48" s="8" t="s">
        <v>52</v>
      </c>
    </row>
    <row r="49">
      <c r="B49" s="4">
        <v>41.0</v>
      </c>
      <c r="C49" s="7" t="s">
        <v>50</v>
      </c>
      <c r="D49" s="7" t="s">
        <v>10</v>
      </c>
      <c r="E49" s="5" t="str">
        <f>IF($D49="","",VLOOKUP(D49,Blad2!$A$4:$B$7,2))</f>
        <v>Digital Out</v>
      </c>
      <c r="F49" s="7" t="s">
        <v>51</v>
      </c>
      <c r="G49" s="8" t="s">
        <v>52</v>
      </c>
    </row>
    <row r="50">
      <c r="B50" s="4">
        <v>42.0</v>
      </c>
      <c r="C50" s="7" t="s">
        <v>53</v>
      </c>
      <c r="D50" s="7" t="s">
        <v>10</v>
      </c>
      <c r="E50" s="5" t="str">
        <f>IF($D50="","",VLOOKUP(D50,Blad2!$A$4:$B$7,2))</f>
        <v>Digital Out</v>
      </c>
      <c r="F50" s="7" t="s">
        <v>54</v>
      </c>
      <c r="G50" s="8" t="s">
        <v>55</v>
      </c>
    </row>
    <row r="51">
      <c r="B51" s="4">
        <v>43.0</v>
      </c>
      <c r="C51" s="7" t="s">
        <v>53</v>
      </c>
      <c r="D51" s="7" t="s">
        <v>10</v>
      </c>
      <c r="E51" s="5" t="str">
        <f>IF($D51="","",VLOOKUP(D51,Blad2!$A$4:$B$7,2))</f>
        <v>Digital Out</v>
      </c>
      <c r="F51" s="7" t="s">
        <v>54</v>
      </c>
      <c r="G51" s="8" t="s">
        <v>55</v>
      </c>
    </row>
    <row r="52">
      <c r="B52" s="4">
        <v>44.0</v>
      </c>
      <c r="C52" s="7" t="s">
        <v>53</v>
      </c>
      <c r="D52" s="7" t="s">
        <v>10</v>
      </c>
      <c r="E52" s="5" t="str">
        <f>IF($D52="","",VLOOKUP(D52,Blad2!$A$4:$B$7,2))</f>
        <v>Digital Out</v>
      </c>
      <c r="F52" s="7" t="s">
        <v>54</v>
      </c>
      <c r="G52" s="8" t="s">
        <v>55</v>
      </c>
    </row>
    <row r="53">
      <c r="B53" s="4">
        <v>45.0</v>
      </c>
      <c r="C53" s="7" t="s">
        <v>53</v>
      </c>
      <c r="D53" s="7" t="s">
        <v>10</v>
      </c>
      <c r="E53" s="5" t="str">
        <f>IF($D53="","",VLOOKUP(D53,Blad2!$A$4:$B$7,2))</f>
        <v>Digital Out</v>
      </c>
      <c r="F53" s="7" t="s">
        <v>54</v>
      </c>
      <c r="G53" s="8" t="s">
        <v>55</v>
      </c>
    </row>
    <row r="54">
      <c r="B54" s="4">
        <v>46.0</v>
      </c>
      <c r="C54" s="7" t="s">
        <v>56</v>
      </c>
      <c r="D54" s="7" t="s">
        <v>10</v>
      </c>
      <c r="E54" s="5" t="str">
        <f>IF($D54="","",VLOOKUP(D54,Blad2!$A$4:$B$7,2))</f>
        <v>Digital Out</v>
      </c>
      <c r="F54" s="7" t="s">
        <v>54</v>
      </c>
      <c r="G54" s="8" t="s">
        <v>57</v>
      </c>
    </row>
    <row r="55">
      <c r="B55" s="4">
        <v>47.0</v>
      </c>
      <c r="C55" s="7" t="s">
        <v>56</v>
      </c>
      <c r="D55" s="7" t="s">
        <v>10</v>
      </c>
      <c r="E55" s="5" t="str">
        <f>IF($D55="","",VLOOKUP(D55,Blad2!$A$4:$B$7,2))</f>
        <v>Digital Out</v>
      </c>
      <c r="F55" s="7" t="s">
        <v>54</v>
      </c>
      <c r="G55" s="8" t="s">
        <v>57</v>
      </c>
    </row>
    <row r="56">
      <c r="B56" s="4">
        <v>48.0</v>
      </c>
      <c r="C56" s="7" t="s">
        <v>56</v>
      </c>
      <c r="D56" s="7" t="s">
        <v>10</v>
      </c>
      <c r="E56" s="5" t="str">
        <f>IF($D56="","",VLOOKUP(D56,Blad2!$A$4:$B$7,2))</f>
        <v>Digital Out</v>
      </c>
      <c r="F56" s="7" t="s">
        <v>54</v>
      </c>
      <c r="G56" s="8" t="s">
        <v>57</v>
      </c>
    </row>
    <row r="57">
      <c r="B57" s="4">
        <v>49.0</v>
      </c>
      <c r="C57" s="7" t="s">
        <v>56</v>
      </c>
      <c r="D57" s="7" t="s">
        <v>10</v>
      </c>
      <c r="E57" s="5" t="str">
        <f>IF($D57="","",VLOOKUP(D57,Blad2!$A$4:$B$7,2))</f>
        <v>Digital Out</v>
      </c>
      <c r="F57" s="7" t="s">
        <v>54</v>
      </c>
      <c r="G57" s="8" t="s">
        <v>57</v>
      </c>
    </row>
    <row r="58">
      <c r="B58" s="4">
        <v>50.0</v>
      </c>
      <c r="C58" s="7" t="s">
        <v>58</v>
      </c>
      <c r="D58" s="7" t="s">
        <v>59</v>
      </c>
      <c r="E58" s="5" t="str">
        <f>IF($D58="","",VLOOKUP(D58,Blad2!$A$4:$B$7,2))</f>
        <v>Digital In</v>
      </c>
      <c r="F58" s="7" t="s">
        <v>54</v>
      </c>
      <c r="G58" s="8" t="s">
        <v>60</v>
      </c>
    </row>
    <row r="59">
      <c r="B59" s="4">
        <v>51.0</v>
      </c>
      <c r="C59" s="7" t="s">
        <v>58</v>
      </c>
      <c r="D59" s="7" t="s">
        <v>59</v>
      </c>
      <c r="E59" s="5" t="str">
        <f>IF($D59="","",VLOOKUP(D59,Blad2!$A$4:$B$7,2))</f>
        <v>Digital In</v>
      </c>
      <c r="F59" s="7" t="s">
        <v>54</v>
      </c>
      <c r="G59" s="8" t="s">
        <v>60</v>
      </c>
    </row>
    <row r="60">
      <c r="B60" s="4">
        <v>52.0</v>
      </c>
      <c r="C60" s="7" t="s">
        <v>58</v>
      </c>
      <c r="D60" s="7" t="s">
        <v>59</v>
      </c>
      <c r="E60" s="5" t="str">
        <f>IF($D60="","",VLOOKUP(D60,Blad2!$A$4:$B$7,2))</f>
        <v>Digital In</v>
      </c>
      <c r="F60" s="7" t="s">
        <v>54</v>
      </c>
      <c r="G60" s="8" t="s">
        <v>60</v>
      </c>
    </row>
    <row r="61">
      <c r="B61" s="4">
        <v>53.0</v>
      </c>
      <c r="C61" s="5"/>
      <c r="D61" s="5"/>
      <c r="E61" s="5" t="str">
        <f>IF($D61="","",VLOOKUP(D61,Blad2!$A$4:$B$7,2))</f>
        <v/>
      </c>
      <c r="F61" s="5"/>
      <c r="G61" s="6"/>
    </row>
    <row r="62">
      <c r="B62" s="4" t="s">
        <v>61</v>
      </c>
      <c r="C62" s="7" t="s">
        <v>62</v>
      </c>
      <c r="D62" s="7" t="s">
        <v>59</v>
      </c>
      <c r="E62" s="5" t="str">
        <f>IF($D62="","",VLOOKUP(D62,Blad2!$A$4:$B$7,2))</f>
        <v>Digital In</v>
      </c>
      <c r="F62" s="7" t="s">
        <v>54</v>
      </c>
      <c r="G62" s="8" t="s">
        <v>63</v>
      </c>
    </row>
    <row r="63">
      <c r="B63" s="4" t="s">
        <v>64</v>
      </c>
      <c r="C63" s="7" t="s">
        <v>62</v>
      </c>
      <c r="D63" s="7" t="s">
        <v>59</v>
      </c>
      <c r="E63" s="5" t="str">
        <f>IF($D63="","",VLOOKUP(D63,Blad2!$A$4:$B$7,2))</f>
        <v>Digital In</v>
      </c>
      <c r="F63" s="7" t="s">
        <v>54</v>
      </c>
      <c r="G63" s="8" t="s">
        <v>63</v>
      </c>
    </row>
    <row r="64">
      <c r="B64" s="4" t="s">
        <v>65</v>
      </c>
      <c r="C64" s="7" t="s">
        <v>62</v>
      </c>
      <c r="D64" s="7" t="s">
        <v>59</v>
      </c>
      <c r="E64" s="5" t="str">
        <f>IF($D64="","",VLOOKUP(D64,Blad2!$A$4:$B$7,2))</f>
        <v>Digital In</v>
      </c>
      <c r="F64" s="7" t="s">
        <v>54</v>
      </c>
      <c r="G64" s="8" t="s">
        <v>63</v>
      </c>
    </row>
    <row r="65">
      <c r="B65" s="4" t="s">
        <v>66</v>
      </c>
      <c r="C65" s="5"/>
      <c r="D65" s="5"/>
      <c r="E65" s="5" t="str">
        <f>IF($D65="","",VLOOKUP(D65,Blad2!$A$4:$B$7,2))</f>
        <v/>
      </c>
      <c r="F65" s="5"/>
      <c r="G65" s="8"/>
    </row>
    <row r="66">
      <c r="B66" s="4" t="s">
        <v>67</v>
      </c>
      <c r="C66" s="5"/>
      <c r="D66" s="5"/>
      <c r="E66" s="5" t="str">
        <f>IF($D66="","",VLOOKUP(D66,Blad2!$A$4:$B$7,2))</f>
        <v/>
      </c>
      <c r="F66" s="5"/>
      <c r="G66" s="6"/>
    </row>
    <row r="67">
      <c r="B67" s="4" t="s">
        <v>68</v>
      </c>
      <c r="C67" s="5"/>
      <c r="D67" s="5"/>
      <c r="E67" s="5" t="str">
        <f>IF($D67="","",VLOOKUP(D67,Blad2!$A$4:$B$7,2))</f>
        <v/>
      </c>
      <c r="F67" s="5"/>
      <c r="G67" s="6"/>
    </row>
    <row r="68">
      <c r="B68" s="4" t="s">
        <v>69</v>
      </c>
      <c r="C68" s="5"/>
      <c r="D68" s="5"/>
      <c r="E68" s="5" t="str">
        <f>IF($D68="","",VLOOKUP(D68,Blad2!$A$4:$B$7,2))</f>
        <v/>
      </c>
      <c r="F68" s="5"/>
      <c r="G68" s="6"/>
    </row>
    <row r="69">
      <c r="B69" s="4" t="s">
        <v>70</v>
      </c>
      <c r="C69" s="5"/>
      <c r="D69" s="5"/>
      <c r="E69" s="5" t="str">
        <f>IF($D69="","",VLOOKUP(D69,Blad2!$A$4:$B$7,2))</f>
        <v/>
      </c>
      <c r="F69" s="5"/>
      <c r="G69" s="6"/>
    </row>
    <row r="70">
      <c r="B70" s="4" t="s">
        <v>71</v>
      </c>
      <c r="C70" s="7" t="s">
        <v>72</v>
      </c>
      <c r="D70" s="7" t="s">
        <v>10</v>
      </c>
      <c r="E70" s="5" t="str">
        <f>IF($D70="","",VLOOKUP(D70,Blad2!$A$4:$B$7,2))</f>
        <v>Digital Out</v>
      </c>
      <c r="F70" s="7" t="s">
        <v>47</v>
      </c>
      <c r="G70" s="8" t="s">
        <v>73</v>
      </c>
    </row>
    <row r="71">
      <c r="B71" s="4" t="s">
        <v>74</v>
      </c>
      <c r="C71" s="7" t="s">
        <v>72</v>
      </c>
      <c r="D71" s="7" t="s">
        <v>10</v>
      </c>
      <c r="E71" s="5" t="str">
        <f>IF($D71="","",VLOOKUP(D71,Blad2!$A$4:$B$7,2))</f>
        <v>Digital Out</v>
      </c>
      <c r="F71" s="7" t="s">
        <v>47</v>
      </c>
      <c r="G71" s="8" t="s">
        <v>73</v>
      </c>
    </row>
    <row r="72">
      <c r="B72" s="4" t="s">
        <v>75</v>
      </c>
      <c r="C72" s="7" t="s">
        <v>72</v>
      </c>
      <c r="D72" s="7" t="s">
        <v>10</v>
      </c>
      <c r="E72" s="5" t="str">
        <f>IF($D72="","",VLOOKUP(D72,Blad2!$A$4:$B$7,2))</f>
        <v>Digital Out</v>
      </c>
      <c r="F72" s="7" t="s">
        <v>47</v>
      </c>
      <c r="G72" s="8" t="s">
        <v>73</v>
      </c>
    </row>
    <row r="73">
      <c r="B73" s="4" t="s">
        <v>76</v>
      </c>
      <c r="C73" s="7" t="s">
        <v>72</v>
      </c>
      <c r="D73" s="7" t="s">
        <v>10</v>
      </c>
      <c r="E73" s="5" t="str">
        <f>IF($D73="","",VLOOKUP(D73,Blad2!$A$4:$B$7,2))</f>
        <v>Digital Out</v>
      </c>
      <c r="F73" s="7" t="s">
        <v>47</v>
      </c>
      <c r="G73" s="8" t="s">
        <v>73</v>
      </c>
    </row>
    <row r="74">
      <c r="B74" s="4" t="s">
        <v>77</v>
      </c>
      <c r="C74" s="7" t="s">
        <v>78</v>
      </c>
      <c r="D74" s="7" t="s">
        <v>59</v>
      </c>
      <c r="E74" s="5" t="str">
        <f>IF($D74="","",VLOOKUP(D74,Blad2!$A$4:$B$7,2))</f>
        <v>Digital In</v>
      </c>
      <c r="F74" s="7" t="s">
        <v>79</v>
      </c>
      <c r="G74" s="8" t="s">
        <v>80</v>
      </c>
    </row>
    <row r="75">
      <c r="B75" s="4" t="s">
        <v>81</v>
      </c>
      <c r="C75" s="7" t="s">
        <v>82</v>
      </c>
      <c r="D75" s="7" t="s">
        <v>59</v>
      </c>
      <c r="E75" s="5" t="str">
        <f>IF($D75="","",VLOOKUP(D75,Blad2!$A$4:$B$7,2))</f>
        <v>Digital In</v>
      </c>
      <c r="F75" s="7" t="s">
        <v>47</v>
      </c>
      <c r="G75" s="8" t="s">
        <v>83</v>
      </c>
    </row>
    <row r="76">
      <c r="B76" s="4" t="s">
        <v>84</v>
      </c>
      <c r="C76" s="7" t="s">
        <v>82</v>
      </c>
      <c r="D76" s="7" t="s">
        <v>59</v>
      </c>
      <c r="E76" s="5" t="str">
        <f>IF($D76="","",VLOOKUP(D76,Blad2!$A$4:$B$7,2))</f>
        <v>Digital In</v>
      </c>
      <c r="F76" s="7" t="s">
        <v>47</v>
      </c>
      <c r="G76" s="8" t="s">
        <v>83</v>
      </c>
    </row>
    <row r="77">
      <c r="B77" s="10" t="s">
        <v>85</v>
      </c>
      <c r="C77" s="11" t="s">
        <v>82</v>
      </c>
      <c r="D77" s="11" t="s">
        <v>59</v>
      </c>
      <c r="E77" s="12" t="str">
        <f>IF($D77="","",VLOOKUP(D77,Blad2!$A$4:$B$7,2))</f>
        <v>Digital In</v>
      </c>
      <c r="F77" s="11" t="s">
        <v>47</v>
      </c>
      <c r="G77" s="13" t="s">
        <v>83</v>
      </c>
    </row>
  </sheetData>
  <autoFilter ref="$B$7:$G$77"/>
  <dataValidations>
    <dataValidation type="list" allowBlank="1" showErrorMessage="1" sqref="D8:D61 D65:D77">
      <formula1>"AI,DI,DO,PWM"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9" t="s">
        <v>86</v>
      </c>
      <c r="B4" s="9" t="s">
        <v>87</v>
      </c>
    </row>
    <row r="5">
      <c r="A5" s="9" t="s">
        <v>59</v>
      </c>
      <c r="B5" s="9" t="s">
        <v>88</v>
      </c>
    </row>
    <row r="6">
      <c r="A6" s="9" t="s">
        <v>10</v>
      </c>
      <c r="B6" s="9" t="s">
        <v>89</v>
      </c>
    </row>
    <row r="7">
      <c r="A7" s="9" t="s">
        <v>20</v>
      </c>
      <c r="B7" s="9" t="s">
        <v>90</v>
      </c>
    </row>
  </sheetData>
  <drawing r:id="rId1"/>
</worksheet>
</file>